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shboard" sheetId="1" r:id="rId1"/>
    <sheet name="Summary" sheetId="2" r:id="rId2"/>
    <sheet name="Bills_Income" sheetId="3" r:id="rId3"/>
    <sheet name="STUPID ASS LOAN DETAILS" sheetId="4" r:id="rId4"/>
    <sheet name="Report History"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8" formatCode="&quot;$&quot;#,##0.00_);[Red]\(&quot;$&quot;#,##0.00\)"/>
    <numFmt numFmtId="56" formatCode="&quot;上午/下午 &quot;hh&quot;時&quot;mm&quot;分&quot;ss&quot;秒 &quot;"/>
    <numFmt numFmtId="164" formatCode="&quot;$&quot;#,##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kyhousing.estatusconnect.com/?message=6A8D274BEC203B2CD51C8521A0EFEAAF8C81A7DCFB3E3AF4DCB10569CC47D1528AB4875A29258543CF95D9B0A903682071C141871E4E1847E16520D0DEC649F44B691EB2DB0754E5B147CB8D9282BB98" TargetMode="External"/><Relationship Id="rId2" Type="http://schemas.openxmlformats.org/officeDocument/2006/relationships/hyperlink" Target="https://onlinebanking.oldnational.com/dbank/live/app/home" TargetMode="External"/><Relationship Id="rId3" Type="http://schemas.openxmlformats.org/officeDocument/2006/relationships/hyperlink" Target="https://kyhousing.estatusconnect.com/?message=6A8D274BEC203B2CD51C8521A0EFEAAF8C81A7DCFB3E3AF4DCB10569CC47D1528AB4875A29258543CF95D9B0A903682071C141871E4E1847E16520D0DEC649F44B691EB2DB0754E5B147CB8D9282BB98" TargetMode="External"/><Relationship Id="rId4" Type="http://schemas.openxmlformats.org/officeDocument/2006/relationships/hyperlink" Target="https://onlinebanking.oldnational.com/dbank/live/app/home" TargetMode="External"/></Relationships>
</file>

<file path=xl/worksheets/sheet1.xml><?xml version="1.0" encoding="utf-8"?>
<worksheet xmlns="http://schemas.openxmlformats.org/spreadsheetml/2006/main" xmlns:r="http://schemas.openxmlformats.org/officeDocument/2006/relationships">
  <dimension ref="A1:C18"/>
  <sheetViews>
    <sheetView workbookViewId="0" rightToLeft="0"/>
  </sheetViews>
  <sheetData>
    <row r="1">
      <c r="A1" t="str">
        <v>AI ANALYSIS DASHBOARD</v>
      </c>
      <c r="B1" t="str">
        <v/>
      </c>
      <c r="C1" t="str">
        <v/>
      </c>
    </row>
    <row r="2">
      <c r="A2" t="str">
        <v>Title</v>
      </c>
      <c r="B2" t="str">
        <v>Quick Look at Our Initial Data Setup</v>
      </c>
      <c r="C2" t="str">
        <v/>
      </c>
    </row>
    <row r="3">
      <c r="A3" t="str">
        <v>Generated At</v>
      </c>
      <c r="B3" t="str">
        <v>May 15, 2024</v>
      </c>
      <c r="C3" t="str">
        <v/>
      </c>
    </row>
    <row r="4">
      <c r="A4" t="str">
        <v/>
      </c>
      <c r="B4" t="str">
        <v/>
      </c>
      <c r="C4" t="str">
        <v/>
      </c>
    </row>
    <row r="5">
      <c r="A5" t="str">
        <v>OVERVIEW</v>
      </c>
      <c r="B5" t="str">
        <v/>
      </c>
      <c r="C5" t="str">
        <v/>
      </c>
    </row>
    <row r="6">
      <c r="A6" t="str">
        <v>Hey there! I've taken a quick peek at the spreadsheet you shared. Right now, it looks like we have a very basic setup with some general placeholders, so we can't quite dive into any deep insights just yet. Think of this as getting the table ready before we put any food on it!</v>
      </c>
      <c r="B6" t="str">
        <v/>
      </c>
      <c r="C6" t="str">
        <v/>
      </c>
    </row>
    <row r="7">
      <c r="A7" t="str">
        <v/>
      </c>
      <c r="B7" t="str">
        <v/>
      </c>
      <c r="C7" t="str">
        <v/>
      </c>
    </row>
    <row r="8">
      <c r="A8" t="str">
        <v>KEY FINDINGS</v>
      </c>
      <c r="B8" t="str">
        <v/>
      </c>
      <c r="C8" t="str">
        <v/>
      </c>
    </row>
    <row r="9">
      <c r="A9" t="str">
        <v>🕵️‍♀️ Data Uses Placeholder Names</v>
      </c>
      <c r="B9" t="str">
        <v>It seems the information provided uses generic names like 'Header1,' 'Value1,' and so on. This tells us the structure of where information *would* go, but not the actual details we need to understand our business.</v>
      </c>
      <c r="C9" t="str">
        <v/>
      </c>
    </row>
    <row r="10">
      <c r="A10" t="str">
        <v/>
      </c>
      <c r="B10" t="str">
        <v/>
      </c>
      <c r="C10" t="str">
        <v/>
      </c>
    </row>
    <row r="11">
      <c r="A11" t="str">
        <v>DATA HIGHLIGHTS</v>
      </c>
      <c r="B11" t="str">
        <v/>
      </c>
      <c r="C11" t="str">
        <v/>
      </c>
    </row>
    <row r="12">
      <c r="A12" t="str">
        <v>Number of Data Rows</v>
      </c>
      <c r="B12" t="str">
        <v>2 rows</v>
      </c>
      <c r="C12" t="str">
        <v>After the top row that tells us what each column is, we have two lines where our actual information will sit. It's a start!</v>
      </c>
    </row>
    <row r="13">
      <c r="A13" t="str">
        <v/>
      </c>
      <c r="B13" t="str">
        <v/>
      </c>
      <c r="C13" t="str">
        <v/>
      </c>
    </row>
    <row r="14">
      <c r="A14" t="str">
        <v>CONCERNS</v>
      </c>
      <c r="B14" t="str">
        <v/>
      </c>
      <c r="C14" t="str">
        <v/>
      </c>
    </row>
    <row r="15">
      <c r="A15" t="str">
        <v>⚠️ No Actionable Insights (Yet!)</v>
      </c>
      <c r="B15" t="str">
        <v>Since all the entries are just generic text, we can't really tell what's working well, what needs attention, or what's changed. It's like having a map with only 'You Are Here' written everywhere – not very helpful for getting somewhere!</v>
      </c>
      <c r="C15" t="str">
        <v/>
      </c>
    </row>
    <row r="16">
      <c r="A16" t="str">
        <v/>
      </c>
      <c r="B16" t="str">
        <v/>
      </c>
      <c r="C16" t="str">
        <v/>
      </c>
    </row>
    <row r="17">
      <c r="A17" t="str">
        <v>RECOMMENDATIONS</v>
      </c>
      <c r="B17" t="str">
        <v/>
      </c>
      <c r="C17" t="str">
        <v/>
      </c>
    </row>
    <row r="18">
      <c r="A18" t="str">
        <v>💡 Populate the Spreadsheet with Real Business Details</v>
      </c>
      <c r="B18" t="str">
        <v>To make this report truly useful, we'll need to fill in actual business data – like customer names, sales figures, product IDs, or whatever specific information we're trying to track. Once we have that, we can start finding patterns and making smart decisions!</v>
      </c>
      <c r="C18" t="str">
        <v/>
      </c>
    </row>
  </sheetData>
  <ignoredErrors>
    <ignoredError numberStoredAsText="1" sqref="A1:C18"/>
  </ignoredErrors>
</worksheet>
</file>

<file path=xl/worksheets/sheet2.xml><?xml version="1.0" encoding="utf-8"?>
<worksheet xmlns="http://schemas.openxmlformats.org/spreadsheetml/2006/main" xmlns:r="http://schemas.openxmlformats.org/officeDocument/2006/relationships">
  <dimension ref="A1:F12"/>
  <sheetViews>
    <sheetView workbookViewId="0" rightToLeft="0"/>
  </sheetViews>
  <sheetData>
    <row r="1">
      <c r="A1" t="str">
        <v>Sum of Due</v>
      </c>
      <c r="B1" t="str">
        <v>Column Labels</v>
      </c>
      <c r="C1" t="str">
        <v/>
      </c>
      <c r="D1" t="str">
        <v/>
      </c>
      <c r="E1" t="str">
        <v/>
      </c>
      <c r="F1" t="str">
        <v/>
      </c>
    </row>
    <row r="2">
      <c r="A2" t="str">
        <v>Row Labels</v>
      </c>
      <c r="B2" t="str">
        <v>Jan</v>
      </c>
      <c r="C2" t="str">
        <v>Feb</v>
      </c>
      <c r="D2" t="str">
        <v>Mar</v>
      </c>
      <c r="E2" t="str">
        <v>Apr</v>
      </c>
      <c r="F2" t="str">
        <v>Grand Total</v>
      </c>
    </row>
    <row r="3">
      <c r="A3" t="str">
        <v>Dustin</v>
      </c>
      <c r="B3">
        <v>1963.17</v>
      </c>
      <c r="C3">
        <v>141.57999999999902</v>
      </c>
      <c r="D3">
        <v>4357.799999999999</v>
      </c>
      <c r="E3">
        <v>357.7999999999993</v>
      </c>
      <c r="F3">
        <v>6820.349999999991</v>
      </c>
    </row>
    <row r="4">
      <c r="A4" t="str">
        <v>Income</v>
      </c>
      <c r="B4">
        <v>12175.11</v>
      </c>
      <c r="C4">
        <v>8116.74</v>
      </c>
      <c r="D4">
        <v>12116.74</v>
      </c>
      <c r="E4">
        <v>8116.74</v>
      </c>
      <c r="F4">
        <v>40525.329999999994</v>
      </c>
    </row>
    <row r="5">
      <c r="A5" t="str">
        <v>PNC Bills Account</v>
      </c>
      <c r="B5">
        <v>-8461.27</v>
      </c>
      <c r="C5">
        <v>-6249.490000000001</v>
      </c>
      <c r="D5">
        <v>-6033.27</v>
      </c>
      <c r="E5">
        <v>-6033.27</v>
      </c>
      <c r="F5">
        <v>-26777.300000000003</v>
      </c>
    </row>
    <row r="6">
      <c r="A6" t="str">
        <v>PNC Credit Card</v>
      </c>
      <c r="B6">
        <v>-1750.67</v>
      </c>
      <c r="C6">
        <v>-1725.67</v>
      </c>
      <c r="D6">
        <v>-1725.67</v>
      </c>
      <c r="E6">
        <v>-1725.67</v>
      </c>
      <c r="F6">
        <v>-6927.68</v>
      </c>
    </row>
    <row r="7">
      <c r="A7" t="str">
        <v>Heather</v>
      </c>
      <c r="B7">
        <v>8998.48</v>
      </c>
      <c r="C7" t="str">
        <v/>
      </c>
      <c r="D7" t="str">
        <v/>
      </c>
      <c r="E7" t="str">
        <v/>
      </c>
      <c r="F7">
        <v>8998.48</v>
      </c>
    </row>
    <row r="8">
      <c r="A8" t="str">
        <v>Income</v>
      </c>
      <c r="B8">
        <v>8998.48</v>
      </c>
      <c r="C8" t="str">
        <v/>
      </c>
      <c r="D8" t="str">
        <v/>
      </c>
      <c r="E8" t="str">
        <v/>
      </c>
      <c r="F8">
        <v>8998.48</v>
      </c>
    </row>
    <row r="9">
      <c r="A9" t="str">
        <v>Grand Total</v>
      </c>
      <c r="B9">
        <v>10961.65</v>
      </c>
      <c r="C9">
        <v>141.57999999999902</v>
      </c>
      <c r="D9">
        <v>4357.799999999999</v>
      </c>
      <c r="E9">
        <v>357.7999999999993</v>
      </c>
      <c r="F9">
        <v>15818.82999999999</v>
      </c>
    </row>
    <row r="10">
      <c r="A10" t="str">
        <v/>
      </c>
      <c r="B10" t="str">
        <v/>
      </c>
      <c r="C10" t="str">
        <v/>
      </c>
      <c r="D10" t="str">
        <v/>
      </c>
      <c r="E10" t="str">
        <v/>
      </c>
      <c r="F10" t="str">
        <v/>
      </c>
    </row>
    <row r="11">
      <c r="A11" t="str">
        <v/>
      </c>
      <c r="B11" t="str">
        <v/>
      </c>
      <c r="C11" t="str">
        <v/>
      </c>
      <c r="D11" t="str">
        <v/>
      </c>
      <c r="E11" t="str">
        <v/>
      </c>
      <c r="F11" t="str">
        <v/>
      </c>
    </row>
    <row r="12">
      <c r="A12" t="str">
        <v/>
      </c>
      <c r="B12" t="str">
        <v/>
      </c>
      <c r="C12" t="str">
        <v/>
      </c>
      <c r="D12" t="str">
        <v/>
      </c>
      <c r="E12" t="str">
        <v/>
      </c>
      <c r="F12" t="str">
        <v/>
      </c>
    </row>
  </sheetData>
  <ignoredErrors>
    <ignoredError numberStoredAsText="1" sqref="A1:F12"/>
  </ignoredErrors>
</worksheet>
</file>

<file path=xl/worksheets/sheet3.xml><?xml version="1.0" encoding="utf-8"?>
<worksheet xmlns="http://schemas.openxmlformats.org/spreadsheetml/2006/main" xmlns:r="http://schemas.openxmlformats.org/officeDocument/2006/relationships">
  <dimension ref="A1:H109"/>
  <sheetViews>
    <sheetView workbookViewId="0" rightToLeft="0"/>
  </sheetViews>
  <sheetData>
    <row r="1">
      <c r="A1" t="str">
        <v>Owner</v>
      </c>
      <c r="B1" t="str">
        <v>Category</v>
      </c>
      <c r="C1" t="str">
        <v>Date</v>
      </c>
      <c r="D1" t="str">
        <v>Bill</v>
      </c>
      <c r="E1" t="str">
        <v>Amount Borrowed</v>
      </c>
      <c r="F1" t="str">
        <v>Current Balance</v>
      </c>
      <c r="G1" t="str">
        <v>Due</v>
      </c>
      <c r="H1" t="str">
        <v>Note</v>
      </c>
    </row>
    <row r="2">
      <c r="A2" t="str">
        <v>Dustin</v>
      </c>
      <c r="B2" t="str">
        <v>Income</v>
      </c>
      <c r="C2">
        <v>46024</v>
      </c>
      <c r="D2" t="str">
        <v>Pay Check - 1/2/26</v>
      </c>
      <c r="G2">
        <v>4058.37</v>
      </c>
    </row>
    <row r="3">
      <c r="A3" t="str">
        <v>Dustin</v>
      </c>
      <c r="B3" t="str">
        <v>Income</v>
      </c>
      <c r="C3">
        <v>46038</v>
      </c>
      <c r="D3" t="str">
        <v>Pay Check -  1/16/26</v>
      </c>
      <c r="G3">
        <v>4058.37</v>
      </c>
    </row>
    <row r="4">
      <c r="A4" t="str">
        <v>Dustin</v>
      </c>
      <c r="B4" t="str">
        <v>Income</v>
      </c>
      <c r="C4">
        <v>46052</v>
      </c>
      <c r="D4" t="str">
        <v>Pay Check -1/30/26</v>
      </c>
      <c r="G4">
        <v>4058.37</v>
      </c>
    </row>
    <row r="5" xml:space="preserve">
      <c r="A5" t="str">
        <v>Dustin</v>
      </c>
      <c r="B5" t="str">
        <v>PNC Bills Account</v>
      </c>
      <c r="C5">
        <v>46038</v>
      </c>
      <c r="D5" t="str">
        <v>BGH</v>
      </c>
      <c r="E5">
        <v>86000</v>
      </c>
      <c r="F5">
        <v>75453.36</v>
      </c>
      <c r="G5">
        <v>-1685.27</v>
      </c>
      <c r="H5" t="str" xml:space="preserve">
        <v xml:space="preserve">Debit Conslidation_x000d_
 (Customer Service &lt;customerservice@bhg-inc.com&gt;)</v>
      </c>
    </row>
    <row r="6">
      <c r="A6" t="str">
        <v>Dustin</v>
      </c>
      <c r="B6" t="str">
        <v>PNC Bills Account</v>
      </c>
      <c r="C6">
        <v>46027</v>
      </c>
      <c r="D6" t="str">
        <v>Kentucky Housing Corp</v>
      </c>
      <c r="E6">
        <v>276450</v>
      </c>
      <c r="F6">
        <v>262401.54</v>
      </c>
      <c r="G6">
        <f>-2359*2</f>
        <v>-4718</v>
      </c>
      <c r="H6" t="str">
        <v>Paid the 5th and the 30th of this month</v>
      </c>
    </row>
    <row r="7">
      <c r="A7" t="str">
        <v>Dustin</v>
      </c>
      <c r="B7" t="str">
        <v>PNC Bills Account</v>
      </c>
      <c r="C7">
        <v>46027</v>
      </c>
      <c r="D7" t="str">
        <v>LG&amp;E</v>
      </c>
      <c r="G7">
        <v>-161</v>
      </c>
      <c r="H7" t="str">
        <v>Will increase in the winter</v>
      </c>
    </row>
    <row r="8">
      <c r="A8" t="str">
        <v>Dustin</v>
      </c>
      <c r="B8" t="str">
        <v>PNC Bills Account</v>
      </c>
      <c r="C8">
        <v>46027</v>
      </c>
      <c r="D8" t="str">
        <v>Salt River Electric</v>
      </c>
      <c r="G8">
        <f>-60*2</f>
        <v>-120</v>
      </c>
      <c r="H8" t="str">
        <v>Will decrease in the winter</v>
      </c>
    </row>
    <row r="9">
      <c r="A9" t="str">
        <v>Dustin</v>
      </c>
      <c r="B9" t="str">
        <v>PNC Bills Account</v>
      </c>
      <c r="C9">
        <v>46027</v>
      </c>
      <c r="D9" t="str">
        <v>Mount Washington Water &amp; Sewer</v>
      </c>
      <c r="G9">
        <f>-47</f>
        <v>-47</v>
      </c>
    </row>
    <row r="10">
      <c r="A10" t="str">
        <v>Dustin</v>
      </c>
      <c r="B10" t="str">
        <v>PNC Bills Account</v>
      </c>
      <c r="C10">
        <v>46027</v>
      </c>
      <c r="D10" t="str">
        <v>Old National Bank</v>
      </c>
      <c r="E10">
        <v>30781</v>
      </c>
      <c r="F10">
        <v>20504.81</v>
      </c>
      <c r="G10">
        <v>-530</v>
      </c>
      <c r="H10" t="str">
        <v>Truck payment -Paid the 5th and the 30th of this month</v>
      </c>
    </row>
    <row r="11">
      <c r="A11" t="str">
        <v>Dustin</v>
      </c>
      <c r="B11" t="str">
        <v>PNC Bills Account</v>
      </c>
      <c r="C11">
        <v>46027</v>
      </c>
      <c r="D11" t="str">
        <v>PNC PNC Credit Card</v>
      </c>
      <c r="G11">
        <v>-1200</v>
      </c>
    </row>
    <row r="12">
      <c r="A12" t="str">
        <v>Dustin</v>
      </c>
      <c r="B12" t="str">
        <v>PNC Credit Card</v>
      </c>
      <c r="C12">
        <v>46023</v>
      </c>
      <c r="D12" t="str">
        <v>Car Insurance</v>
      </c>
      <c r="G12">
        <v>-125</v>
      </c>
    </row>
    <row r="13">
      <c r="A13" t="str">
        <v>Dustin</v>
      </c>
      <c r="B13" t="str">
        <v>PNC Credit Card</v>
      </c>
      <c r="C13">
        <v>46031</v>
      </c>
      <c r="D13" t="str">
        <v>Specturm</v>
      </c>
      <c r="G13">
        <v>-90.83</v>
      </c>
    </row>
    <row r="14">
      <c r="A14" t="str">
        <v>Dustin</v>
      </c>
      <c r="B14" t="str">
        <v>PNC Credit Card</v>
      </c>
      <c r="C14">
        <v>46030</v>
      </c>
      <c r="D14" t="str">
        <v>The Car Wash Company</v>
      </c>
      <c r="G14">
        <v>-39</v>
      </c>
    </row>
    <row r="15">
      <c r="A15" t="str">
        <v>Dustin</v>
      </c>
      <c r="B15" t="str">
        <v>PNC Credit Card</v>
      </c>
      <c r="C15">
        <v>46030</v>
      </c>
      <c r="D15" t="str">
        <v>Apple Music</v>
      </c>
      <c r="G15">
        <v>-18.01</v>
      </c>
    </row>
    <row r="16">
      <c r="A16" t="str">
        <v>Dustin</v>
      </c>
      <c r="B16" t="str">
        <v>PNC Credit Card</v>
      </c>
      <c r="C16">
        <v>46048</v>
      </c>
      <c r="D16" t="str">
        <v>Halo</v>
      </c>
      <c r="G16">
        <v>-34.8</v>
      </c>
    </row>
    <row r="17">
      <c r="A17" t="str">
        <v>Dustin</v>
      </c>
      <c r="B17" t="str">
        <v>PNC Credit Card</v>
      </c>
      <c r="C17">
        <v>46048</v>
      </c>
      <c r="D17" t="str">
        <v>YouTube TV</v>
      </c>
      <c r="G17">
        <v>-75.87</v>
      </c>
    </row>
    <row r="18">
      <c r="A18" t="str">
        <v>Dustin</v>
      </c>
      <c r="B18" t="str">
        <v>PNC Credit Card</v>
      </c>
      <c r="C18">
        <v>46046</v>
      </c>
      <c r="D18" t="str">
        <v>ChatGPT Pro</v>
      </c>
      <c r="G18">
        <v>-21.2</v>
      </c>
    </row>
    <row r="19">
      <c r="A19" t="str">
        <v>Dustin</v>
      </c>
      <c r="B19" t="str">
        <v>PNC Credit Card</v>
      </c>
      <c r="C19">
        <v>46023</v>
      </c>
      <c r="D19" t="str">
        <v>Apple Storage</v>
      </c>
      <c r="G19">
        <v>-9.99</v>
      </c>
    </row>
    <row r="20">
      <c r="A20" t="str">
        <v>Dustin</v>
      </c>
      <c r="B20" t="str">
        <v>PNC Credit Card</v>
      </c>
      <c r="C20">
        <v>46036</v>
      </c>
      <c r="D20" t="str">
        <v>Club Fitness</v>
      </c>
      <c r="G20">
        <v>-79.45</v>
      </c>
    </row>
    <row r="21">
      <c r="A21" t="str">
        <v>Dustin</v>
      </c>
      <c r="B21" t="str">
        <v>PNC Credit Card</v>
      </c>
      <c r="C21">
        <v>46034</v>
      </c>
      <c r="D21" t="str">
        <v>2-10 Home Warranty</v>
      </c>
      <c r="G21">
        <v>-89.03</v>
      </c>
    </row>
    <row r="22">
      <c r="A22" t="str">
        <v>Dustin</v>
      </c>
      <c r="B22" t="str">
        <v>PNC Credit Card</v>
      </c>
      <c r="C22">
        <v>46023</v>
      </c>
      <c r="D22" t="str">
        <v>Vivint Equipment</v>
      </c>
      <c r="E22">
        <v>1000</v>
      </c>
      <c r="F22">
        <v>320</v>
      </c>
      <c r="G22">
        <v>-17.49</v>
      </c>
    </row>
    <row r="23">
      <c r="A23" t="str">
        <v>Dustin</v>
      </c>
      <c r="B23" t="str">
        <v>PNC Credit Card</v>
      </c>
      <c r="C23">
        <v>46023</v>
      </c>
      <c r="D23" t="str">
        <v>Vivint Monitoring</v>
      </c>
      <c r="G23">
        <v>-50</v>
      </c>
    </row>
    <row r="24">
      <c r="A24" t="str">
        <v>Dustin</v>
      </c>
      <c r="B24" t="str">
        <v>PNC Credit Card</v>
      </c>
      <c r="C24">
        <v>46031</v>
      </c>
      <c r="D24" t="str">
        <v>Groceries</v>
      </c>
      <c r="G24">
        <v>-200</v>
      </c>
    </row>
    <row r="25">
      <c r="A25" t="str">
        <v>Dustin</v>
      </c>
      <c r="B25" t="str">
        <v>PNC Credit Card</v>
      </c>
      <c r="C25">
        <v>46038</v>
      </c>
      <c r="D25" t="str">
        <v>Groceries</v>
      </c>
      <c r="G25">
        <v>-200</v>
      </c>
    </row>
    <row r="26">
      <c r="A26" t="str">
        <v>Dustin</v>
      </c>
      <c r="B26" t="str">
        <v>PNC Credit Card</v>
      </c>
      <c r="C26">
        <v>46045</v>
      </c>
      <c r="D26" t="str">
        <v>Groceries</v>
      </c>
      <c r="G26">
        <v>-200</v>
      </c>
    </row>
    <row r="27">
      <c r="A27" t="str">
        <v>Dustin</v>
      </c>
      <c r="B27" t="str">
        <v>PNC Credit Card</v>
      </c>
      <c r="C27">
        <v>46052</v>
      </c>
      <c r="D27" t="str">
        <v>Groceries</v>
      </c>
      <c r="G27">
        <v>-200</v>
      </c>
    </row>
    <row r="28">
      <c r="A28" t="str">
        <v>Dustin</v>
      </c>
      <c r="B28" t="str">
        <v>PNC Credit Card</v>
      </c>
      <c r="C28">
        <v>46052</v>
      </c>
      <c r="D28" t="str">
        <v>Gas</v>
      </c>
      <c r="G28">
        <f>-75*4</f>
        <v>-300</v>
      </c>
      <c r="H28" t="str">
        <v>Average weekly cost $75.00</v>
      </c>
    </row>
    <row r="29">
      <c r="A29" t="str">
        <v>Dustin</v>
      </c>
      <c r="B29" t="str">
        <v>Income</v>
      </c>
      <c r="C29">
        <v>46066</v>
      </c>
      <c r="D29" t="str">
        <v xml:space="preserve">Pay Check </v>
      </c>
      <c r="G29">
        <v>4058.37</v>
      </c>
    </row>
    <row r="30">
      <c r="A30" t="str">
        <v>Dustin</v>
      </c>
      <c r="B30" t="str">
        <v>Income</v>
      </c>
      <c r="C30">
        <v>46080</v>
      </c>
      <c r="D30" t="str">
        <v>Pay Check</v>
      </c>
      <c r="G30">
        <v>4058.37</v>
      </c>
    </row>
    <row r="31">
      <c r="A31" t="str">
        <v>Dustin</v>
      </c>
      <c r="B31" t="str">
        <v>PNC Bills Account</v>
      </c>
      <c r="C31">
        <v>46069</v>
      </c>
      <c r="D31" t="str">
        <v>BGH</v>
      </c>
      <c r="E31">
        <v>86000</v>
      </c>
      <c r="F31">
        <v>74710.62</v>
      </c>
      <c r="G31">
        <v>-1685.27</v>
      </c>
    </row>
    <row r="32">
      <c r="A32" t="str">
        <v>Dustin</v>
      </c>
      <c r="B32" t="str">
        <v>PNC Bills Account</v>
      </c>
      <c r="C32">
        <v>46058</v>
      </c>
      <c r="D32" t="str">
        <v>Kentucky Housing Corp</v>
      </c>
      <c r="E32">
        <v>262056.09</v>
      </c>
      <c r="G32">
        <v>-2405</v>
      </c>
    </row>
    <row r="33">
      <c r="A33" t="str">
        <v>Dustin</v>
      </c>
      <c r="B33" t="str">
        <v>PNC Bills Account</v>
      </c>
      <c r="C33">
        <v>46058</v>
      </c>
      <c r="D33" t="str">
        <v>LG&amp;E</v>
      </c>
      <c r="G33">
        <v>-255</v>
      </c>
    </row>
    <row r="34">
      <c r="A34" t="str">
        <v>Dustin</v>
      </c>
      <c r="B34" t="str">
        <v>PNC Bills Account</v>
      </c>
      <c r="C34">
        <v>46058</v>
      </c>
      <c r="D34" t="str">
        <v>Salt River Electric</v>
      </c>
      <c r="G34">
        <v>-54.22</v>
      </c>
    </row>
    <row r="35">
      <c r="A35" t="str">
        <v>Dustin</v>
      </c>
      <c r="B35" t="str">
        <v>PNC Bills Account</v>
      </c>
      <c r="C35">
        <v>46058</v>
      </c>
      <c r="D35" t="str">
        <v>Mount Washington Water &amp; Sewer</v>
      </c>
      <c r="G35">
        <v>-120</v>
      </c>
    </row>
    <row r="36">
      <c r="A36" t="str">
        <v>Dustin</v>
      </c>
      <c r="B36" t="str">
        <v>PNC Bills Account</v>
      </c>
      <c r="C36">
        <v>46058</v>
      </c>
      <c r="D36" t="str">
        <v>Old National Bank</v>
      </c>
      <c r="E36">
        <v>30781</v>
      </c>
      <c r="F36">
        <v>20118.31</v>
      </c>
      <c r="G36">
        <v>-530</v>
      </c>
    </row>
    <row r="37">
      <c r="A37" t="str">
        <v>Dustin</v>
      </c>
      <c r="B37" t="str">
        <v>PNC Bills Account</v>
      </c>
      <c r="C37">
        <v>46058</v>
      </c>
      <c r="D37" t="str">
        <v>PNC PNC Credit Card</v>
      </c>
      <c r="G37">
        <v>-1200</v>
      </c>
    </row>
    <row r="38">
      <c r="A38" t="str">
        <v>Dustin</v>
      </c>
      <c r="B38" t="str">
        <v>PNC Credit Card</v>
      </c>
      <c r="C38">
        <v>46054</v>
      </c>
      <c r="D38" t="str">
        <v>Car Insurance</v>
      </c>
      <c r="G38">
        <v>-100</v>
      </c>
    </row>
    <row r="39">
      <c r="A39" t="str">
        <v>Dustin</v>
      </c>
      <c r="B39" t="str">
        <v>PNC Credit Card</v>
      </c>
      <c r="C39">
        <v>46062</v>
      </c>
      <c r="D39" t="str">
        <v>Specturm</v>
      </c>
      <c r="G39">
        <v>-90.83</v>
      </c>
    </row>
    <row r="40">
      <c r="A40" t="str">
        <v>Dustin</v>
      </c>
      <c r="B40" t="str">
        <v>PNC Credit Card</v>
      </c>
      <c r="C40">
        <v>46061</v>
      </c>
      <c r="D40" t="str">
        <v>The Car Wash Company</v>
      </c>
      <c r="G40">
        <v>-39</v>
      </c>
    </row>
    <row r="41">
      <c r="A41" t="str">
        <v>Dustin</v>
      </c>
      <c r="B41" t="str">
        <v>PNC Credit Card</v>
      </c>
      <c r="C41">
        <v>46061</v>
      </c>
      <c r="D41" t="str">
        <v>Apple Music</v>
      </c>
      <c r="G41">
        <v>-18.01</v>
      </c>
    </row>
    <row r="42">
      <c r="A42" t="str">
        <v>Dustin</v>
      </c>
      <c r="B42" t="str">
        <v>PNC Credit Card</v>
      </c>
      <c r="C42">
        <v>46079</v>
      </c>
      <c r="D42" t="str">
        <v>Halo</v>
      </c>
      <c r="G42">
        <v>-34.8</v>
      </c>
    </row>
    <row r="43">
      <c r="A43" t="str">
        <v>Dustin</v>
      </c>
      <c r="B43" t="str">
        <v>PNC Credit Card</v>
      </c>
      <c r="C43">
        <v>46079</v>
      </c>
      <c r="D43" t="str">
        <v>YouTube TV</v>
      </c>
      <c r="G43">
        <v>-75.87</v>
      </c>
    </row>
    <row r="44">
      <c r="A44" t="str">
        <v>Dustin</v>
      </c>
      <c r="B44" t="str">
        <v>PNC Credit Card</v>
      </c>
      <c r="C44">
        <v>46077</v>
      </c>
      <c r="D44" t="str">
        <v>ChatGPT Pro</v>
      </c>
      <c r="G44">
        <v>-21.2</v>
      </c>
    </row>
    <row r="45">
      <c r="A45" t="str">
        <v>Dustin</v>
      </c>
      <c r="B45" t="str">
        <v>PNC Credit Card</v>
      </c>
      <c r="C45">
        <v>46054</v>
      </c>
      <c r="D45" t="str">
        <v>Apple Storage</v>
      </c>
      <c r="G45">
        <v>-9.99</v>
      </c>
    </row>
    <row r="46">
      <c r="A46" t="str">
        <v>Dustin</v>
      </c>
      <c r="B46" t="str">
        <v>PNC Credit Card</v>
      </c>
      <c r="C46">
        <v>46067</v>
      </c>
      <c r="D46" t="str">
        <v>Club Fitness</v>
      </c>
      <c r="G46">
        <v>-79.45</v>
      </c>
    </row>
    <row r="47">
      <c r="A47" t="str">
        <v>Dustin</v>
      </c>
      <c r="B47" t="str">
        <v>PNC Credit Card</v>
      </c>
      <c r="C47">
        <v>46065</v>
      </c>
      <c r="D47" t="str">
        <v>2-10 Home Warranty</v>
      </c>
      <c r="G47">
        <v>-89.03</v>
      </c>
    </row>
    <row r="48">
      <c r="A48" t="str">
        <v>Dustin</v>
      </c>
      <c r="B48" t="str">
        <v>PNC Credit Card</v>
      </c>
      <c r="C48">
        <v>46054</v>
      </c>
      <c r="D48" t="str">
        <v>Vivint Equipment</v>
      </c>
      <c r="G48">
        <v>-17.49</v>
      </c>
    </row>
    <row r="49">
      <c r="A49" t="str">
        <v>Dustin</v>
      </c>
      <c r="B49" t="str">
        <v>PNC Credit Card</v>
      </c>
      <c r="C49">
        <v>46054</v>
      </c>
      <c r="D49" t="str">
        <v>Vivint Monitoring</v>
      </c>
      <c r="G49">
        <v>-50</v>
      </c>
    </row>
    <row r="50">
      <c r="A50" t="str">
        <v>Dustin</v>
      </c>
      <c r="B50" t="str">
        <v>PNC Credit Card</v>
      </c>
      <c r="C50">
        <v>46059</v>
      </c>
      <c r="D50" t="str">
        <v>Groceries</v>
      </c>
      <c r="G50">
        <v>-200</v>
      </c>
    </row>
    <row r="51">
      <c r="A51" t="str">
        <v>Dustin</v>
      </c>
      <c r="B51" t="str">
        <v>PNC Credit Card</v>
      </c>
      <c r="C51">
        <v>46066</v>
      </c>
      <c r="D51" t="str">
        <v>Groceries</v>
      </c>
      <c r="G51">
        <v>-200</v>
      </c>
    </row>
    <row r="52">
      <c r="A52" t="str">
        <v>Dustin</v>
      </c>
      <c r="B52" t="str">
        <v>PNC Credit Card</v>
      </c>
      <c r="C52">
        <v>46073</v>
      </c>
      <c r="D52" t="str">
        <v>Groceries</v>
      </c>
      <c r="G52">
        <v>-200</v>
      </c>
    </row>
    <row r="53">
      <c r="A53" t="str">
        <v>Dustin</v>
      </c>
      <c r="B53" t="str">
        <v>PNC Credit Card</v>
      </c>
      <c r="C53">
        <v>46080</v>
      </c>
      <c r="D53" t="str">
        <v>Groceries</v>
      </c>
      <c r="G53">
        <v>-200</v>
      </c>
    </row>
    <row r="54">
      <c r="A54" t="str">
        <v>Dustin</v>
      </c>
      <c r="B54" t="str">
        <v>PNC Credit Card</v>
      </c>
      <c r="C54">
        <v>46081</v>
      </c>
      <c r="D54" t="str">
        <v>Gas</v>
      </c>
      <c r="G54">
        <v>-300</v>
      </c>
    </row>
    <row r="55">
      <c r="A55" t="str">
        <v>Dustin</v>
      </c>
      <c r="B55" t="str">
        <v>Income</v>
      </c>
      <c r="C55">
        <v>46094</v>
      </c>
      <c r="D55" t="str">
        <v xml:space="preserve">Pay Check </v>
      </c>
      <c r="G55">
        <v>4058.37</v>
      </c>
    </row>
    <row r="56">
      <c r="A56" t="str">
        <v>Dustin</v>
      </c>
      <c r="B56" t="str">
        <v>Income</v>
      </c>
      <c r="C56">
        <v>46108</v>
      </c>
      <c r="D56" t="str">
        <v>Pay Check</v>
      </c>
      <c r="G56">
        <v>4058.37</v>
      </c>
    </row>
    <row r="57">
      <c r="A57" t="str">
        <v>Dustin</v>
      </c>
      <c r="B57" t="str">
        <v>Income</v>
      </c>
      <c r="C57">
        <v>46094</v>
      </c>
      <c r="D57" t="str">
        <v>Bonus</v>
      </c>
      <c r="G57">
        <v>4000</v>
      </c>
      <c r="H57" t="str">
        <v>??????</v>
      </c>
    </row>
    <row r="58">
      <c r="A58" t="str">
        <v>Dustin</v>
      </c>
      <c r="B58" t="str">
        <v>PNC Bills Account</v>
      </c>
      <c r="C58">
        <v>46097</v>
      </c>
      <c r="D58" t="str">
        <v>BGH</v>
      </c>
      <c r="E58">
        <v>86000</v>
      </c>
      <c r="F58">
        <f>'STUPID ASS LOAN DETAILS'!F21</f>
        <v>73958.6</v>
      </c>
      <c r="G58">
        <v>-1685.27</v>
      </c>
    </row>
    <row r="59">
      <c r="A59" t="str">
        <v>Dustin</v>
      </c>
      <c r="B59" t="str">
        <v>PNC Bills Account</v>
      </c>
      <c r="C59">
        <v>46086</v>
      </c>
      <c r="D59" t="str">
        <v>PNC Mortgage</v>
      </c>
      <c r="E59">
        <v>268000</v>
      </c>
      <c r="G59">
        <v>-2200</v>
      </c>
    </row>
    <row r="60">
      <c r="A60" t="str">
        <v>Dustin</v>
      </c>
      <c r="B60" t="str">
        <v>PNC Bills Account</v>
      </c>
      <c r="C60">
        <v>46086</v>
      </c>
      <c r="D60" t="str">
        <v>LG&amp;E</v>
      </c>
      <c r="G60">
        <v>-150</v>
      </c>
    </row>
    <row r="61">
      <c r="A61" t="str">
        <v>Dustin</v>
      </c>
      <c r="B61" t="str">
        <v>PNC Bills Account</v>
      </c>
      <c r="C61">
        <v>46086</v>
      </c>
      <c r="D61" t="str">
        <v>Salt River Electric</v>
      </c>
      <c r="G61">
        <v>-150</v>
      </c>
    </row>
    <row r="62">
      <c r="A62" t="str">
        <v>Dustin</v>
      </c>
      <c r="B62" t="str">
        <v>PNC Bills Account</v>
      </c>
      <c r="C62">
        <v>46086</v>
      </c>
      <c r="D62" t="str">
        <v>Mount Washington Water &amp; Sewer</v>
      </c>
      <c r="G62">
        <v>-120</v>
      </c>
    </row>
    <row r="63">
      <c r="A63" t="str">
        <v>Dustin</v>
      </c>
      <c r="B63" t="str">
        <v>PNC Bills Account</v>
      </c>
      <c r="C63">
        <v>46086</v>
      </c>
      <c r="D63" t="str">
        <v>Old National Bank</v>
      </c>
      <c r="E63">
        <v>30781</v>
      </c>
      <c r="F63">
        <v>20118.31</v>
      </c>
      <c r="G63">
        <v>-528</v>
      </c>
    </row>
    <row r="64">
      <c r="A64" t="str">
        <v>Dustin</v>
      </c>
      <c r="B64" t="str">
        <v>PNC Bills Account</v>
      </c>
      <c r="C64">
        <v>46086</v>
      </c>
      <c r="D64" t="str">
        <v>PNC PNC Credit Card</v>
      </c>
      <c r="G64">
        <v>-1200</v>
      </c>
    </row>
    <row r="65">
      <c r="A65" t="str">
        <v>Dustin</v>
      </c>
      <c r="B65" t="str">
        <v>PNC Credit Card</v>
      </c>
      <c r="C65">
        <v>46082</v>
      </c>
      <c r="D65" t="str">
        <v>Car Insurance</v>
      </c>
      <c r="G65">
        <v>-100</v>
      </c>
    </row>
    <row r="66">
      <c r="A66" t="str">
        <v>Dustin</v>
      </c>
      <c r="B66" t="str">
        <v>PNC Credit Card</v>
      </c>
      <c r="C66">
        <v>46090</v>
      </c>
      <c r="D66" t="str">
        <v>Specturm</v>
      </c>
      <c r="G66">
        <v>-90.83</v>
      </c>
    </row>
    <row r="67">
      <c r="A67" t="str">
        <v>Dustin</v>
      </c>
      <c r="B67" t="str">
        <v>PNC Credit Card</v>
      </c>
      <c r="C67">
        <v>46089</v>
      </c>
      <c r="D67" t="str">
        <v>The Car Wash Company</v>
      </c>
      <c r="G67">
        <v>-39</v>
      </c>
    </row>
    <row r="68">
      <c r="A68" t="str">
        <v>Dustin</v>
      </c>
      <c r="B68" t="str">
        <v>PNC Credit Card</v>
      </c>
      <c r="C68">
        <v>46089</v>
      </c>
      <c r="D68" t="str">
        <v>Apple Music</v>
      </c>
      <c r="G68">
        <v>-18.01</v>
      </c>
    </row>
    <row r="69">
      <c r="A69" t="str">
        <v>Dustin</v>
      </c>
      <c r="B69" t="str">
        <v>PNC Credit Card</v>
      </c>
      <c r="C69">
        <v>46107</v>
      </c>
      <c r="D69" t="str">
        <v>Halo</v>
      </c>
      <c r="G69">
        <v>-34.8</v>
      </c>
    </row>
    <row r="70">
      <c r="A70" t="str">
        <v>Dustin</v>
      </c>
      <c r="B70" t="str">
        <v>PNC Credit Card</v>
      </c>
      <c r="C70">
        <v>46107</v>
      </c>
      <c r="D70" t="str">
        <v>YouTube TV</v>
      </c>
      <c r="G70">
        <v>-75.87</v>
      </c>
    </row>
    <row r="71">
      <c r="A71" t="str">
        <v>Dustin</v>
      </c>
      <c r="B71" t="str">
        <v>PNC Credit Card</v>
      </c>
      <c r="C71">
        <v>46105</v>
      </c>
      <c r="D71" t="str">
        <v>ChatGPT Pro</v>
      </c>
      <c r="G71">
        <v>-21.2</v>
      </c>
    </row>
    <row r="72">
      <c r="A72" t="str">
        <v>Dustin</v>
      </c>
      <c r="B72" t="str">
        <v>PNC Credit Card</v>
      </c>
      <c r="C72">
        <v>46082</v>
      </c>
      <c r="D72" t="str">
        <v>Apple Storage</v>
      </c>
      <c r="G72">
        <v>-9.99</v>
      </c>
    </row>
    <row r="73">
      <c r="A73" t="str">
        <v>Dustin</v>
      </c>
      <c r="B73" t="str">
        <v>PNC Credit Card</v>
      </c>
      <c r="C73">
        <v>46095</v>
      </c>
      <c r="D73" t="str">
        <v>Club Fitness</v>
      </c>
      <c r="G73">
        <v>-79.45</v>
      </c>
    </row>
    <row r="74">
      <c r="A74" t="str">
        <v>Dustin</v>
      </c>
      <c r="B74" t="str">
        <v>PNC Credit Card</v>
      </c>
      <c r="C74">
        <v>46094</v>
      </c>
      <c r="D74" t="str">
        <v>2-10 Home Warranty</v>
      </c>
      <c r="G74">
        <v>-89.03</v>
      </c>
    </row>
    <row r="75">
      <c r="A75" t="str">
        <v>Dustin</v>
      </c>
      <c r="B75" t="str">
        <v>PNC Credit Card</v>
      </c>
      <c r="C75">
        <v>46082</v>
      </c>
      <c r="D75" t="str">
        <v>Vivint Equipment</v>
      </c>
      <c r="G75">
        <v>-17.49</v>
      </c>
    </row>
    <row r="76">
      <c r="A76" t="str">
        <v>Dustin</v>
      </c>
      <c r="B76" t="str">
        <v>PNC Credit Card</v>
      </c>
      <c r="C76">
        <v>46082</v>
      </c>
      <c r="D76" t="str">
        <v>Vivint Monitoring</v>
      </c>
      <c r="G76">
        <v>-50</v>
      </c>
    </row>
    <row r="77">
      <c r="A77" t="str">
        <v>Dustin</v>
      </c>
      <c r="B77" t="str">
        <v>PNC Credit Card</v>
      </c>
      <c r="C77">
        <v>46087</v>
      </c>
      <c r="D77" t="str">
        <v>Groceries</v>
      </c>
      <c r="G77">
        <v>-200</v>
      </c>
    </row>
    <row r="78">
      <c r="A78" t="str">
        <v>Dustin</v>
      </c>
      <c r="B78" t="str">
        <v>PNC Credit Card</v>
      </c>
      <c r="C78">
        <v>46094</v>
      </c>
      <c r="D78" t="str">
        <v>Groceries</v>
      </c>
      <c r="G78">
        <v>-200</v>
      </c>
    </row>
    <row r="79">
      <c r="A79" t="str">
        <v>Dustin</v>
      </c>
      <c r="B79" t="str">
        <v>PNC Credit Card</v>
      </c>
      <c r="C79">
        <v>46101</v>
      </c>
      <c r="D79" t="str">
        <v>Groceries</v>
      </c>
      <c r="G79">
        <v>-200</v>
      </c>
    </row>
    <row r="80">
      <c r="A80" t="str">
        <v>Dustin</v>
      </c>
      <c r="B80" t="str">
        <v>PNC Credit Card</v>
      </c>
      <c r="C80">
        <v>46108</v>
      </c>
      <c r="D80" t="str">
        <v>Groceries</v>
      </c>
      <c r="G80">
        <v>-200</v>
      </c>
    </row>
    <row r="81">
      <c r="A81" t="str">
        <v>Dustin</v>
      </c>
      <c r="B81" t="str">
        <v>PNC Credit Card</v>
      </c>
      <c r="C81">
        <v>46109</v>
      </c>
      <c r="D81" t="str">
        <v>Gas</v>
      </c>
      <c r="G81">
        <v>-300</v>
      </c>
    </row>
    <row r="82">
      <c r="A82" t="str">
        <v>Dustin</v>
      </c>
      <c r="B82" t="str">
        <v>Income</v>
      </c>
      <c r="C82">
        <v>46126</v>
      </c>
      <c r="D82" t="str">
        <v xml:space="preserve">Pay Check </v>
      </c>
      <c r="G82">
        <v>4058.37</v>
      </c>
    </row>
    <row r="83">
      <c r="A83" t="str">
        <v>Dustin</v>
      </c>
      <c r="B83" t="str">
        <v>Income</v>
      </c>
      <c r="C83">
        <v>46139</v>
      </c>
      <c r="D83" t="str">
        <v>Pay Check</v>
      </c>
      <c r="G83">
        <v>4058.37</v>
      </c>
    </row>
    <row r="84">
      <c r="A84" t="str">
        <v>Dustin</v>
      </c>
      <c r="B84" t="str">
        <v>PNC Bills Account</v>
      </c>
      <c r="C84">
        <v>46128</v>
      </c>
      <c r="D84" t="str">
        <v>BGH</v>
      </c>
      <c r="E84">
        <v>86000</v>
      </c>
      <c r="F84">
        <v>73958.6</v>
      </c>
      <c r="G84">
        <v>-1685.27</v>
      </c>
    </row>
    <row r="85">
      <c r="A85" t="str">
        <v>Dustin</v>
      </c>
      <c r="B85" t="str">
        <v>PNC Bills Account</v>
      </c>
      <c r="C85">
        <v>46117</v>
      </c>
      <c r="D85" t="str">
        <v>PNC Mortgage</v>
      </c>
      <c r="E85">
        <v>268000</v>
      </c>
      <c r="G85">
        <v>-2200</v>
      </c>
    </row>
    <row r="86">
      <c r="A86" t="str">
        <v>Dustin</v>
      </c>
      <c r="B86" t="str">
        <v>PNC Bills Account</v>
      </c>
      <c r="C86">
        <v>46117</v>
      </c>
      <c r="D86" t="str">
        <v>LG&amp;E</v>
      </c>
      <c r="G86">
        <v>-150</v>
      </c>
    </row>
    <row r="87">
      <c r="A87" t="str">
        <v>Dustin</v>
      </c>
      <c r="B87" t="str">
        <v>PNC Bills Account</v>
      </c>
      <c r="C87">
        <v>46117</v>
      </c>
      <c r="D87" t="str">
        <v>Salt River Electric</v>
      </c>
      <c r="G87">
        <v>-150</v>
      </c>
    </row>
    <row r="88">
      <c r="A88" t="str">
        <v>Dustin</v>
      </c>
      <c r="B88" t="str">
        <v>PNC Bills Account</v>
      </c>
      <c r="C88">
        <v>46117</v>
      </c>
      <c r="D88" t="str">
        <v>Mount Washington Water &amp; Sewer</v>
      </c>
      <c r="G88">
        <v>-120</v>
      </c>
    </row>
    <row r="89">
      <c r="A89" t="str">
        <v>Dustin</v>
      </c>
      <c r="B89" t="str">
        <v>PNC Bills Account</v>
      </c>
      <c r="C89">
        <v>46117</v>
      </c>
      <c r="D89" t="str">
        <v>Old National Bank</v>
      </c>
      <c r="E89">
        <v>30781</v>
      </c>
      <c r="F89">
        <v>20118.31</v>
      </c>
      <c r="G89">
        <v>-528</v>
      </c>
    </row>
    <row r="90">
      <c r="A90" t="str">
        <v>Dustin</v>
      </c>
      <c r="B90" t="str">
        <v>PNC Bills Account</v>
      </c>
      <c r="C90">
        <v>46117</v>
      </c>
      <c r="D90" t="str">
        <v>PNC PNC Credit Card</v>
      </c>
      <c r="G90">
        <v>-1200</v>
      </c>
    </row>
    <row r="91">
      <c r="A91" t="str">
        <v>Dustin</v>
      </c>
      <c r="B91" t="str">
        <v>PNC Credit Card</v>
      </c>
      <c r="C91">
        <v>46113</v>
      </c>
      <c r="D91" t="str">
        <v>Car Insurance</v>
      </c>
      <c r="G91">
        <v>-100</v>
      </c>
    </row>
    <row r="92">
      <c r="A92" t="str">
        <v>Dustin</v>
      </c>
      <c r="B92" t="str">
        <v>PNC Credit Card</v>
      </c>
      <c r="C92">
        <v>46121</v>
      </c>
      <c r="D92" t="str">
        <v>Specturm</v>
      </c>
      <c r="G92">
        <v>-90.83</v>
      </c>
    </row>
    <row r="93">
      <c r="A93" t="str">
        <v>Dustin</v>
      </c>
      <c r="B93" t="str">
        <v>PNC Credit Card</v>
      </c>
      <c r="C93">
        <v>46120</v>
      </c>
      <c r="D93" t="str">
        <v>The Car Wash Company</v>
      </c>
      <c r="G93">
        <v>-39</v>
      </c>
    </row>
    <row r="94">
      <c r="A94" t="str">
        <v>Dustin</v>
      </c>
      <c r="B94" t="str">
        <v>PNC Credit Card</v>
      </c>
      <c r="C94">
        <v>46120</v>
      </c>
      <c r="D94" t="str">
        <v>Apple Music</v>
      </c>
      <c r="G94">
        <v>-18.01</v>
      </c>
    </row>
    <row r="95">
      <c r="A95" t="str">
        <v>Dustin</v>
      </c>
      <c r="B95" t="str">
        <v>PNC Credit Card</v>
      </c>
      <c r="C95">
        <v>46138</v>
      </c>
      <c r="D95" t="str">
        <v>Halo</v>
      </c>
      <c r="G95">
        <v>-34.8</v>
      </c>
    </row>
    <row r="96">
      <c r="A96" t="str">
        <v>Dustin</v>
      </c>
      <c r="B96" t="str">
        <v>PNC Credit Card</v>
      </c>
      <c r="C96">
        <v>46138</v>
      </c>
      <c r="D96" t="str">
        <v>YouTube TV</v>
      </c>
      <c r="G96">
        <v>-75.87</v>
      </c>
    </row>
    <row r="97">
      <c r="A97" t="str">
        <v>Dustin</v>
      </c>
      <c r="B97" t="str">
        <v>PNC Credit Card</v>
      </c>
      <c r="C97">
        <v>46136</v>
      </c>
      <c r="D97" t="str">
        <v>ChatGPT Pro</v>
      </c>
      <c r="G97">
        <v>-21.2</v>
      </c>
    </row>
    <row r="98">
      <c r="A98" t="str">
        <v>Dustin</v>
      </c>
      <c r="B98" t="str">
        <v>PNC Credit Card</v>
      </c>
      <c r="C98">
        <v>46113</v>
      </c>
      <c r="D98" t="str">
        <v>Apple Storage</v>
      </c>
      <c r="G98">
        <v>-9.99</v>
      </c>
    </row>
    <row r="99">
      <c r="A99" t="str">
        <v>Dustin</v>
      </c>
      <c r="B99" t="str">
        <v>PNC Credit Card</v>
      </c>
      <c r="C99">
        <v>46126</v>
      </c>
      <c r="D99" t="str">
        <v>Club Fitness</v>
      </c>
      <c r="G99">
        <v>-79.45</v>
      </c>
    </row>
    <row r="100">
      <c r="A100" t="str">
        <v>Dustin</v>
      </c>
      <c r="B100" t="str">
        <v>PNC Credit Card</v>
      </c>
      <c r="C100">
        <v>46126</v>
      </c>
      <c r="D100" t="str">
        <v>2-10 Home Warranty</v>
      </c>
      <c r="G100">
        <v>-89.03</v>
      </c>
    </row>
    <row r="101">
      <c r="A101" t="str">
        <v>Dustin</v>
      </c>
      <c r="B101" t="str">
        <v>PNC Credit Card</v>
      </c>
      <c r="C101">
        <v>46113</v>
      </c>
      <c r="D101" t="str">
        <v>Vivint Equipment</v>
      </c>
      <c r="G101">
        <v>-17.49</v>
      </c>
    </row>
    <row r="102">
      <c r="A102" t="str">
        <v>Dustin</v>
      </c>
      <c r="B102" t="str">
        <v>PNC Credit Card</v>
      </c>
      <c r="C102">
        <v>46113</v>
      </c>
      <c r="D102" t="str">
        <v>Vivint Monitoring</v>
      </c>
      <c r="G102">
        <v>-50</v>
      </c>
    </row>
    <row r="103">
      <c r="A103" t="str">
        <v>Dustin</v>
      </c>
      <c r="B103" t="str">
        <v>PNC Credit Card</v>
      </c>
      <c r="C103">
        <v>46118</v>
      </c>
      <c r="D103" t="str">
        <v>Groceries</v>
      </c>
      <c r="G103">
        <v>-200</v>
      </c>
    </row>
    <row r="104">
      <c r="A104" t="str">
        <v>Dustin</v>
      </c>
      <c r="B104" t="str">
        <v>PNC Credit Card</v>
      </c>
      <c r="C104">
        <v>46126</v>
      </c>
      <c r="D104" t="str">
        <v>Groceries</v>
      </c>
      <c r="G104">
        <v>-200</v>
      </c>
    </row>
    <row r="105">
      <c r="A105" t="str">
        <v>Dustin</v>
      </c>
      <c r="B105" t="str">
        <v>PNC Credit Card</v>
      </c>
      <c r="C105">
        <v>46132</v>
      </c>
      <c r="D105" t="str">
        <v>Groceries</v>
      </c>
      <c r="G105">
        <v>-200</v>
      </c>
    </row>
    <row r="106">
      <c r="A106" t="str">
        <v>Dustin</v>
      </c>
      <c r="B106" t="str">
        <v>PNC Credit Card</v>
      </c>
      <c r="C106">
        <v>46139</v>
      </c>
      <c r="D106" t="str">
        <v>Groceries</v>
      </c>
      <c r="G106">
        <v>-200</v>
      </c>
    </row>
    <row r="107">
      <c r="A107" t="str">
        <v>Dustin</v>
      </c>
      <c r="B107" t="str">
        <v>PNC Credit Card</v>
      </c>
      <c r="C107">
        <v>46140</v>
      </c>
      <c r="D107" t="str">
        <v>Gas</v>
      </c>
      <c r="G107">
        <v>-300</v>
      </c>
    </row>
    <row r="108">
      <c r="A108" t="str">
        <v>Heather</v>
      </c>
      <c r="B108" t="str">
        <v>Income</v>
      </c>
      <c r="C108">
        <v>46050</v>
      </c>
      <c r="D108" t="str">
        <v xml:space="preserve">Pay Check </v>
      </c>
      <c r="G108">
        <v>4499.24</v>
      </c>
    </row>
    <row r="109">
      <c r="A109" t="str">
        <v>Heather</v>
      </c>
      <c r="B109" t="str">
        <v>Income</v>
      </c>
      <c r="C109">
        <v>46050</v>
      </c>
      <c r="D109" t="str">
        <v xml:space="preserve">Pay Check </v>
      </c>
      <c r="G109">
        <v>4499.24</v>
      </c>
    </row>
  </sheetData>
  <hyperlinks>
    <hyperlink ref="D6" r:id="rId1"/>
    <hyperlink ref="D10" r:id="rId2"/>
    <hyperlink ref="D32" r:id="rId3"/>
    <hyperlink ref="D36" r:id="rId4"/>
  </hyperlinks>
  <pageMargins left="0.7" right="0.7" top="0.75" bottom="0.75" header="0.3" footer="0.3"/>
  <ignoredErrors>
    <ignoredError numberStoredAsText="1" sqref="A1:H109"/>
  </ignoredErrors>
</worksheet>
</file>

<file path=xl/worksheets/sheet4.xml><?xml version="1.0" encoding="utf-8"?>
<worksheet xmlns="http://schemas.openxmlformats.org/spreadsheetml/2006/main" xmlns:r="http://schemas.openxmlformats.org/officeDocument/2006/relationships">
  <dimension ref="A1:F86"/>
  <sheetViews>
    <sheetView workbookViewId="0" rightToLeft="0"/>
  </sheetViews>
  <sheetData>
    <row r="1">
      <c r="A1" t="str">
        <v>Payment Number</v>
      </c>
      <c r="B1" t="str">
        <v>Date</v>
      </c>
      <c r="C1" t="str">
        <v>Payment</v>
      </c>
      <c r="D1" t="str">
        <v>Interest</v>
      </c>
      <c r="E1" t="str">
        <v>Principal</v>
      </c>
      <c r="F1" t="str">
        <v>Balance</v>
      </c>
    </row>
    <row r="2">
      <c r="A2">
        <v>1</v>
      </c>
      <c r="B2">
        <v>45519</v>
      </c>
      <c r="C2">
        <v>1685.27</v>
      </c>
      <c r="D2">
        <v>1091.27</v>
      </c>
      <c r="E2">
        <v>594</v>
      </c>
      <c r="F2">
        <v>86766</v>
      </c>
    </row>
    <row r="3">
      <c r="A3">
        <v>2</v>
      </c>
      <c r="B3">
        <v>45550</v>
      </c>
      <c r="C3">
        <v>1685.27</v>
      </c>
      <c r="D3">
        <v>1083.85</v>
      </c>
      <c r="E3">
        <v>601.42</v>
      </c>
      <c r="F3">
        <v>86164.58</v>
      </c>
    </row>
    <row r="4">
      <c r="A4">
        <v>3</v>
      </c>
      <c r="B4">
        <v>45580</v>
      </c>
      <c r="C4">
        <v>1685.27</v>
      </c>
      <c r="D4">
        <v>1076.33</v>
      </c>
      <c r="E4">
        <v>608.94</v>
      </c>
      <c r="F4">
        <v>85555.64</v>
      </c>
    </row>
    <row r="5">
      <c r="A5">
        <v>4</v>
      </c>
      <c r="B5">
        <v>45611</v>
      </c>
      <c r="C5">
        <v>1685.27</v>
      </c>
      <c r="D5">
        <v>1068.73</v>
      </c>
      <c r="E5">
        <v>616.54</v>
      </c>
      <c r="F5">
        <v>84939.1</v>
      </c>
    </row>
    <row r="6">
      <c r="A6">
        <v>5</v>
      </c>
      <c r="B6">
        <v>45641</v>
      </c>
      <c r="C6">
        <v>1685.27</v>
      </c>
      <c r="D6">
        <v>1061.02</v>
      </c>
      <c r="E6">
        <v>624.25</v>
      </c>
      <c r="F6">
        <v>84314.85</v>
      </c>
    </row>
    <row r="7">
      <c r="A7">
        <v>6</v>
      </c>
      <c r="B7">
        <v>45672</v>
      </c>
      <c r="C7">
        <v>1685.27</v>
      </c>
      <c r="D7">
        <v>1053.23</v>
      </c>
      <c r="E7">
        <v>632.04</v>
      </c>
      <c r="F7">
        <v>83682.81</v>
      </c>
    </row>
    <row r="8">
      <c r="A8">
        <v>7</v>
      </c>
      <c r="B8">
        <v>45703</v>
      </c>
      <c r="C8">
        <v>1685.27</v>
      </c>
      <c r="D8">
        <v>1045.33</v>
      </c>
      <c r="E8">
        <v>639.94</v>
      </c>
      <c r="F8">
        <v>83042.87</v>
      </c>
    </row>
    <row r="9">
      <c r="A9">
        <v>8</v>
      </c>
      <c r="B9">
        <v>45731</v>
      </c>
      <c r="C9">
        <v>1685.27</v>
      </c>
      <c r="D9">
        <v>1037.34</v>
      </c>
      <c r="E9">
        <v>647.93</v>
      </c>
      <c r="F9">
        <v>82394.94</v>
      </c>
    </row>
    <row r="10">
      <c r="A10">
        <v>9</v>
      </c>
      <c r="B10">
        <v>45762</v>
      </c>
      <c r="C10">
        <v>1685.27</v>
      </c>
      <c r="D10">
        <v>1029.24</v>
      </c>
      <c r="E10">
        <v>656.03</v>
      </c>
      <c r="F10">
        <v>81738.91</v>
      </c>
    </row>
    <row r="11">
      <c r="A11">
        <v>10</v>
      </c>
      <c r="B11">
        <v>45792</v>
      </c>
      <c r="C11">
        <v>1685.27</v>
      </c>
      <c r="D11">
        <v>1021.05</v>
      </c>
      <c r="E11">
        <v>664.22</v>
      </c>
      <c r="F11">
        <v>81074.69</v>
      </c>
    </row>
    <row r="12">
      <c r="A12">
        <v>11</v>
      </c>
      <c r="B12">
        <v>45823</v>
      </c>
      <c r="C12">
        <v>1685.27</v>
      </c>
      <c r="D12">
        <v>1012.75</v>
      </c>
      <c r="E12">
        <v>672.52</v>
      </c>
      <c r="F12">
        <v>80402.17</v>
      </c>
    </row>
    <row r="13">
      <c r="A13">
        <v>12</v>
      </c>
      <c r="B13">
        <v>45853</v>
      </c>
      <c r="C13">
        <v>1685.27</v>
      </c>
      <c r="D13">
        <v>1004.35</v>
      </c>
      <c r="E13">
        <v>680.92</v>
      </c>
      <c r="F13">
        <v>79721.25</v>
      </c>
    </row>
    <row r="14">
      <c r="A14">
        <v>13</v>
      </c>
      <c r="B14">
        <v>45884</v>
      </c>
      <c r="C14">
        <v>1685.27</v>
      </c>
      <c r="D14">
        <v>995.85</v>
      </c>
      <c r="E14">
        <v>689.42</v>
      </c>
      <c r="F14">
        <v>79031.83</v>
      </c>
    </row>
    <row r="15">
      <c r="A15">
        <v>14</v>
      </c>
      <c r="B15">
        <v>45915</v>
      </c>
      <c r="C15">
        <v>1685.27</v>
      </c>
      <c r="D15">
        <v>987.23</v>
      </c>
      <c r="E15">
        <v>698.04</v>
      </c>
      <c r="F15">
        <v>78333.79</v>
      </c>
    </row>
    <row r="16">
      <c r="A16">
        <v>15</v>
      </c>
      <c r="B16">
        <v>45945</v>
      </c>
      <c r="C16">
        <v>1685.27</v>
      </c>
      <c r="D16">
        <v>978.51</v>
      </c>
      <c r="E16">
        <v>706.76</v>
      </c>
      <c r="F16">
        <v>77627.03</v>
      </c>
    </row>
    <row r="17">
      <c r="A17">
        <v>16</v>
      </c>
      <c r="B17">
        <v>45976</v>
      </c>
      <c r="C17">
        <v>1685.27</v>
      </c>
      <c r="D17">
        <v>969.69</v>
      </c>
      <c r="E17">
        <v>715.58</v>
      </c>
      <c r="F17">
        <v>76911.45</v>
      </c>
    </row>
    <row r="18">
      <c r="A18">
        <v>17</v>
      </c>
      <c r="B18">
        <v>46006</v>
      </c>
      <c r="C18">
        <v>1685.27</v>
      </c>
      <c r="D18">
        <v>960.75</v>
      </c>
      <c r="E18">
        <v>724.52</v>
      </c>
      <c r="F18">
        <v>76186.93</v>
      </c>
    </row>
    <row r="19">
      <c r="A19">
        <v>18</v>
      </c>
      <c r="B19">
        <v>46037</v>
      </c>
      <c r="C19">
        <v>1685.27</v>
      </c>
      <c r="D19">
        <v>951.7</v>
      </c>
      <c r="E19">
        <v>733.57</v>
      </c>
      <c r="F19">
        <v>75453.36</v>
      </c>
    </row>
    <row r="20">
      <c r="A20">
        <v>19</v>
      </c>
      <c r="B20">
        <v>46068</v>
      </c>
      <c r="C20">
        <v>1685.27</v>
      </c>
      <c r="D20">
        <v>942.53</v>
      </c>
      <c r="E20">
        <v>742.74</v>
      </c>
      <c r="F20">
        <v>74710.62</v>
      </c>
    </row>
    <row r="21">
      <c r="A21">
        <v>20</v>
      </c>
      <c r="B21">
        <v>46096</v>
      </c>
      <c r="C21">
        <v>1685.27</v>
      </c>
      <c r="D21">
        <v>933.25</v>
      </c>
      <c r="E21">
        <v>752.02</v>
      </c>
      <c r="F21">
        <v>73958.6</v>
      </c>
    </row>
    <row r="22">
      <c r="A22">
        <v>21</v>
      </c>
      <c r="B22">
        <v>46127</v>
      </c>
      <c r="C22">
        <v>1685.27</v>
      </c>
      <c r="D22">
        <v>923.86</v>
      </c>
      <c r="E22">
        <v>761.41</v>
      </c>
      <c r="F22">
        <v>73197.19</v>
      </c>
    </row>
    <row r="23">
      <c r="A23">
        <v>22</v>
      </c>
      <c r="B23">
        <v>46157</v>
      </c>
      <c r="C23">
        <v>1685.27</v>
      </c>
      <c r="D23">
        <v>914.35</v>
      </c>
      <c r="E23">
        <v>770.92</v>
      </c>
      <c r="F23">
        <v>72426.27</v>
      </c>
    </row>
    <row r="24">
      <c r="A24">
        <v>23</v>
      </c>
      <c r="B24">
        <v>46188</v>
      </c>
      <c r="C24">
        <v>1685.27</v>
      </c>
      <c r="D24">
        <v>904.72</v>
      </c>
      <c r="E24">
        <v>780.55</v>
      </c>
      <c r="F24">
        <v>71645.72</v>
      </c>
    </row>
    <row r="25">
      <c r="A25">
        <v>24</v>
      </c>
      <c r="B25">
        <v>46218</v>
      </c>
      <c r="C25">
        <v>1685.27</v>
      </c>
      <c r="D25">
        <v>894.97</v>
      </c>
      <c r="E25">
        <v>790.3</v>
      </c>
      <c r="F25">
        <v>70855.42</v>
      </c>
    </row>
    <row r="26">
      <c r="A26">
        <v>25</v>
      </c>
      <c r="B26">
        <v>46249</v>
      </c>
      <c r="C26">
        <v>1685.27</v>
      </c>
      <c r="D26">
        <v>885.1</v>
      </c>
      <c r="E26">
        <v>800.17</v>
      </c>
      <c r="F26">
        <v>70055.25</v>
      </c>
    </row>
    <row r="27">
      <c r="A27">
        <v>26</v>
      </c>
      <c r="B27">
        <v>46280</v>
      </c>
      <c r="C27">
        <v>1685.27</v>
      </c>
      <c r="D27">
        <v>875.1</v>
      </c>
      <c r="E27">
        <v>810.17</v>
      </c>
      <c r="F27">
        <v>69245.08</v>
      </c>
    </row>
    <row r="28">
      <c r="A28">
        <v>27</v>
      </c>
      <c r="B28">
        <v>46310</v>
      </c>
      <c r="C28">
        <v>1685.27</v>
      </c>
      <c r="D28">
        <v>864.98</v>
      </c>
      <c r="E28">
        <v>820.29</v>
      </c>
      <c r="F28">
        <v>68424.79</v>
      </c>
    </row>
    <row r="29">
      <c r="A29">
        <v>28</v>
      </c>
      <c r="B29">
        <v>46341</v>
      </c>
      <c r="C29">
        <v>1685.27</v>
      </c>
      <c r="D29">
        <v>854.73</v>
      </c>
      <c r="E29">
        <v>830.54</v>
      </c>
      <c r="F29">
        <v>67594.25</v>
      </c>
    </row>
    <row r="30">
      <c r="A30">
        <v>29</v>
      </c>
      <c r="B30">
        <v>46371</v>
      </c>
      <c r="C30">
        <v>1685.27</v>
      </c>
      <c r="D30">
        <v>844.36</v>
      </c>
      <c r="E30">
        <v>840.91</v>
      </c>
      <c r="F30">
        <v>66753.34</v>
      </c>
    </row>
    <row r="31">
      <c r="A31">
        <v>30</v>
      </c>
      <c r="B31">
        <v>46402</v>
      </c>
      <c r="C31">
        <v>1685.27</v>
      </c>
      <c r="D31">
        <v>833.86</v>
      </c>
      <c r="E31">
        <v>851.41</v>
      </c>
      <c r="F31">
        <v>65901.93</v>
      </c>
    </row>
    <row r="32">
      <c r="A32">
        <v>31</v>
      </c>
      <c r="B32">
        <v>46433</v>
      </c>
      <c r="C32">
        <v>1685.27</v>
      </c>
      <c r="D32">
        <v>823.22</v>
      </c>
      <c r="E32">
        <v>862.05</v>
      </c>
      <c r="F32">
        <v>65039.88</v>
      </c>
    </row>
    <row r="33">
      <c r="A33">
        <v>32</v>
      </c>
      <c r="B33">
        <v>46461</v>
      </c>
      <c r="C33">
        <v>1685.27</v>
      </c>
      <c r="D33">
        <v>812.45</v>
      </c>
      <c r="E33">
        <v>872.82</v>
      </c>
      <c r="F33">
        <v>64167.06</v>
      </c>
    </row>
    <row r="34">
      <c r="A34">
        <v>33</v>
      </c>
      <c r="B34">
        <v>46492</v>
      </c>
      <c r="C34">
        <v>1685.27</v>
      </c>
      <c r="D34">
        <v>801.55</v>
      </c>
      <c r="E34">
        <v>883.72</v>
      </c>
      <c r="F34">
        <v>63283.34</v>
      </c>
    </row>
    <row r="35">
      <c r="A35">
        <v>34</v>
      </c>
      <c r="B35">
        <v>46522</v>
      </c>
      <c r="C35">
        <v>1685.27</v>
      </c>
      <c r="D35">
        <v>790.51</v>
      </c>
      <c r="E35">
        <v>894.76</v>
      </c>
      <c r="F35">
        <v>62388.58</v>
      </c>
    </row>
    <row r="36">
      <c r="A36">
        <v>35</v>
      </c>
      <c r="B36">
        <v>46553</v>
      </c>
      <c r="C36">
        <v>1685.27</v>
      </c>
      <c r="D36">
        <v>779.33</v>
      </c>
      <c r="E36">
        <v>905.94</v>
      </c>
      <c r="F36">
        <v>61482.64</v>
      </c>
    </row>
    <row r="37">
      <c r="A37">
        <v>36</v>
      </c>
      <c r="B37">
        <v>46583</v>
      </c>
      <c r="C37">
        <v>1685.27</v>
      </c>
      <c r="D37">
        <v>768.02</v>
      </c>
      <c r="E37">
        <v>917.25</v>
      </c>
      <c r="F37">
        <v>60565.39</v>
      </c>
    </row>
    <row r="38">
      <c r="A38">
        <v>37</v>
      </c>
      <c r="B38">
        <v>46614</v>
      </c>
      <c r="C38">
        <v>1685.27</v>
      </c>
      <c r="D38">
        <v>756.56</v>
      </c>
      <c r="E38">
        <v>928.71</v>
      </c>
      <c r="F38">
        <v>59636.68</v>
      </c>
    </row>
    <row r="39">
      <c r="A39">
        <v>38</v>
      </c>
      <c r="B39">
        <v>46645</v>
      </c>
      <c r="C39">
        <v>1685.27</v>
      </c>
      <c r="D39">
        <v>744.96</v>
      </c>
      <c r="E39">
        <v>940.31</v>
      </c>
      <c r="F39">
        <v>58696.37</v>
      </c>
    </row>
    <row r="40">
      <c r="A40">
        <v>39</v>
      </c>
      <c r="B40">
        <v>46675</v>
      </c>
      <c r="C40">
        <v>1685.27</v>
      </c>
      <c r="D40">
        <v>733.21</v>
      </c>
      <c r="E40">
        <v>952.06</v>
      </c>
      <c r="F40">
        <v>57744.31</v>
      </c>
    </row>
    <row r="41">
      <c r="A41">
        <v>40</v>
      </c>
      <c r="B41">
        <v>46706</v>
      </c>
      <c r="C41">
        <v>1685.27</v>
      </c>
      <c r="D41">
        <v>721.32</v>
      </c>
      <c r="E41">
        <v>963.95</v>
      </c>
      <c r="F41">
        <v>56780.36</v>
      </c>
    </row>
    <row r="42">
      <c r="A42">
        <v>41</v>
      </c>
      <c r="B42">
        <v>46736</v>
      </c>
      <c r="C42">
        <v>1685.27</v>
      </c>
      <c r="D42">
        <v>709.28</v>
      </c>
      <c r="E42">
        <v>975.99</v>
      </c>
      <c r="F42">
        <v>55804.37</v>
      </c>
    </row>
    <row r="43">
      <c r="A43">
        <v>42</v>
      </c>
      <c r="B43">
        <v>46767</v>
      </c>
      <c r="C43">
        <v>1685.27</v>
      </c>
      <c r="D43">
        <v>697.09</v>
      </c>
      <c r="E43">
        <v>988.18</v>
      </c>
      <c r="F43">
        <v>54816.19</v>
      </c>
    </row>
    <row r="44">
      <c r="A44">
        <v>43</v>
      </c>
      <c r="B44">
        <v>46798</v>
      </c>
      <c r="C44">
        <v>1685.27</v>
      </c>
      <c r="D44">
        <v>684.74</v>
      </c>
      <c r="E44">
        <v>1000.5</v>
      </c>
      <c r="F44" t="str">
        <v>3 53,815.66</v>
      </c>
    </row>
    <row r="45">
      <c r="A45">
        <v>44</v>
      </c>
      <c r="B45">
        <v>46827</v>
      </c>
      <c r="C45">
        <v>1685.27</v>
      </c>
      <c r="D45">
        <v>672.24</v>
      </c>
      <c r="E45">
        <v>1013</v>
      </c>
      <c r="F45" t="str">
        <v>3 52,802.63</v>
      </c>
    </row>
    <row r="46">
      <c r="A46">
        <v>45</v>
      </c>
      <c r="B46">
        <v>46858</v>
      </c>
      <c r="C46">
        <v>1685.27</v>
      </c>
      <c r="D46">
        <v>659.59</v>
      </c>
      <c r="E46">
        <v>1025.6</v>
      </c>
      <c r="F46" t="str">
        <v>8 51,776.95</v>
      </c>
    </row>
    <row r="47">
      <c r="A47">
        <v>46</v>
      </c>
      <c r="B47">
        <v>46888</v>
      </c>
      <c r="C47">
        <v>1685.27</v>
      </c>
      <c r="D47">
        <v>646.78</v>
      </c>
      <c r="E47">
        <v>1038.4</v>
      </c>
      <c r="F47" t="str">
        <v>9 50,738.46</v>
      </c>
    </row>
    <row r="48">
      <c r="A48">
        <v>47</v>
      </c>
      <c r="B48">
        <v>46919</v>
      </c>
      <c r="C48">
        <v>1685.27</v>
      </c>
      <c r="D48">
        <v>633.8</v>
      </c>
      <c r="E48">
        <v>1051.4</v>
      </c>
      <c r="F48" t="str">
        <v>7 49,686.99</v>
      </c>
    </row>
    <row r="49">
      <c r="A49">
        <v>48</v>
      </c>
      <c r="B49">
        <v>46949</v>
      </c>
      <c r="C49">
        <v>1685.27</v>
      </c>
      <c r="D49">
        <v>620.67</v>
      </c>
      <c r="E49">
        <v>1064.6</v>
      </c>
      <c r="F49" t="str">
        <v>0 48,622.39</v>
      </c>
    </row>
    <row r="50">
      <c r="A50">
        <v>49</v>
      </c>
      <c r="B50">
        <v>46980</v>
      </c>
      <c r="C50">
        <v>1685.27</v>
      </c>
      <c r="D50">
        <v>607.37</v>
      </c>
      <c r="E50">
        <v>1077.9</v>
      </c>
      <c r="F50" t="str">
        <v>0 47,544.49</v>
      </c>
    </row>
    <row r="51">
      <c r="A51">
        <v>50</v>
      </c>
      <c r="B51">
        <v>47011</v>
      </c>
      <c r="C51">
        <v>1685.27</v>
      </c>
      <c r="D51">
        <v>593.91</v>
      </c>
      <c r="E51">
        <v>1091.3</v>
      </c>
      <c r="F51" t="str">
        <v>6 46,453.13</v>
      </c>
    </row>
    <row r="52">
      <c r="A52">
        <v>51</v>
      </c>
      <c r="B52">
        <v>47041</v>
      </c>
      <c r="C52">
        <v>1685.27</v>
      </c>
      <c r="D52">
        <v>580.27</v>
      </c>
      <c r="E52">
        <v>1105</v>
      </c>
      <c r="F52" t="str">
        <v>0 45,348.13</v>
      </c>
    </row>
    <row r="53">
      <c r="A53">
        <v>52</v>
      </c>
      <c r="B53">
        <v>47072</v>
      </c>
      <c r="C53">
        <v>1685.27</v>
      </c>
      <c r="D53">
        <v>566.47</v>
      </c>
      <c r="E53">
        <v>1118.8</v>
      </c>
      <c r="F53" t="str">
        <v>0 44,229.33</v>
      </c>
    </row>
    <row r="54">
      <c r="A54">
        <v>53</v>
      </c>
      <c r="B54">
        <v>47102</v>
      </c>
      <c r="C54">
        <v>1685.27</v>
      </c>
      <c r="D54">
        <v>552.49</v>
      </c>
      <c r="E54">
        <v>1132.7</v>
      </c>
      <c r="F54" t="str">
        <v>8 43,096.55</v>
      </c>
    </row>
    <row r="55">
      <c r="A55">
        <v>54</v>
      </c>
      <c r="B55">
        <v>47133</v>
      </c>
      <c r="C55">
        <v>1685.27</v>
      </c>
      <c r="D55">
        <v>538.34</v>
      </c>
      <c r="E55">
        <v>1146.9</v>
      </c>
      <c r="F55" t="str">
        <v>3 41,949.62</v>
      </c>
    </row>
    <row r="56">
      <c r="A56">
        <v>55</v>
      </c>
      <c r="B56">
        <v>47164</v>
      </c>
      <c r="C56">
        <v>1685.27</v>
      </c>
      <c r="D56">
        <v>524.02</v>
      </c>
      <c r="E56">
        <v>1161.2</v>
      </c>
      <c r="F56" t="str">
        <v>5 40,788.37</v>
      </c>
    </row>
    <row r="57">
      <c r="A57">
        <v>56</v>
      </c>
      <c r="B57">
        <v>47192</v>
      </c>
      <c r="C57">
        <v>1685.27</v>
      </c>
      <c r="D57">
        <v>509.51</v>
      </c>
      <c r="E57">
        <v>1175.7</v>
      </c>
      <c r="F57" t="str">
        <v>6 39,612.61</v>
      </c>
    </row>
    <row r="58">
      <c r="A58">
        <v>57</v>
      </c>
      <c r="B58">
        <v>47223</v>
      </c>
      <c r="C58">
        <v>1685.27</v>
      </c>
      <c r="D58">
        <v>494.82</v>
      </c>
      <c r="E58">
        <v>1190.4</v>
      </c>
      <c r="F58" t="str">
        <v>5 38,422.16</v>
      </c>
    </row>
    <row r="59">
      <c r="A59">
        <v>58</v>
      </c>
      <c r="B59">
        <v>47253</v>
      </c>
      <c r="C59">
        <v>1685.27</v>
      </c>
      <c r="D59">
        <v>479.95</v>
      </c>
      <c r="E59">
        <v>1205.3</v>
      </c>
      <c r="F59" t="str">
        <v>2 37,216.84</v>
      </c>
    </row>
    <row r="60">
      <c r="A60">
        <v>59</v>
      </c>
      <c r="B60">
        <v>47284</v>
      </c>
      <c r="C60">
        <v>1685.27</v>
      </c>
      <c r="D60">
        <v>464.9</v>
      </c>
      <c r="E60">
        <v>1220.3</v>
      </c>
      <c r="F60" t="str">
        <v>7 35,996.47</v>
      </c>
    </row>
    <row r="61">
      <c r="A61">
        <v>60</v>
      </c>
      <c r="B61">
        <v>47314</v>
      </c>
      <c r="C61">
        <v>1685.27</v>
      </c>
      <c r="D61">
        <v>449.65</v>
      </c>
      <c r="E61">
        <v>1235.6</v>
      </c>
      <c r="F61" t="str">
        <v>2 34,760.85</v>
      </c>
    </row>
    <row r="62">
      <c r="A62">
        <v>61</v>
      </c>
      <c r="B62">
        <v>47345</v>
      </c>
      <c r="C62">
        <v>1685.27</v>
      </c>
      <c r="D62">
        <v>434.22</v>
      </c>
      <c r="E62">
        <v>1251</v>
      </c>
      <c r="F62" t="str">
        <v>5 33,509.80</v>
      </c>
    </row>
    <row r="63">
      <c r="A63">
        <v>62</v>
      </c>
      <c r="B63">
        <v>47376</v>
      </c>
      <c r="C63">
        <v>1685.27</v>
      </c>
      <c r="D63">
        <v>418.59</v>
      </c>
      <c r="E63">
        <v>1266.6</v>
      </c>
      <c r="F63" t="str">
        <v>8 32,243.12</v>
      </c>
    </row>
    <row r="64">
      <c r="A64">
        <v>63</v>
      </c>
      <c r="B64">
        <v>47406</v>
      </c>
      <c r="C64">
        <v>1685.27</v>
      </c>
      <c r="D64">
        <v>402.77</v>
      </c>
      <c r="E64">
        <v>1282.5</v>
      </c>
      <c r="F64" t="str">
        <v>0 30,960.62</v>
      </c>
    </row>
    <row r="65">
      <c r="A65">
        <v>64</v>
      </c>
      <c r="B65">
        <v>47437</v>
      </c>
      <c r="C65">
        <v>1685.27</v>
      </c>
      <c r="D65">
        <v>386.75</v>
      </c>
      <c r="E65">
        <v>1298.5</v>
      </c>
      <c r="F65" t="str">
        <v>2 29,662.10</v>
      </c>
    </row>
    <row r="66">
      <c r="A66">
        <v>65</v>
      </c>
      <c r="B66">
        <v>47467</v>
      </c>
      <c r="C66">
        <v>1685.27</v>
      </c>
      <c r="D66">
        <v>370.53</v>
      </c>
      <c r="E66">
        <v>1314.7</v>
      </c>
      <c r="F66" t="str">
        <v>4 28,347.36</v>
      </c>
    </row>
    <row r="67">
      <c r="A67">
        <v>66</v>
      </c>
      <c r="B67">
        <v>47498</v>
      </c>
      <c r="C67">
        <v>1685.27</v>
      </c>
      <c r="D67">
        <v>354.1</v>
      </c>
      <c r="E67">
        <v>1331.1</v>
      </c>
      <c r="F67" t="str">
        <v>7 27,016.19</v>
      </c>
    </row>
    <row r="68">
      <c r="A68">
        <v>67</v>
      </c>
      <c r="B68">
        <v>47529</v>
      </c>
      <c r="C68">
        <v>1685.27</v>
      </c>
      <c r="D68">
        <v>337.48</v>
      </c>
      <c r="E68">
        <v>1347.7</v>
      </c>
      <c r="F68" t="str">
        <v>9 25,668.40</v>
      </c>
    </row>
    <row r="69">
      <c r="A69">
        <v>68</v>
      </c>
      <c r="B69">
        <v>47557</v>
      </c>
      <c r="C69">
        <v>1685.27</v>
      </c>
      <c r="D69">
        <v>320.64</v>
      </c>
      <c r="E69">
        <v>1364.6</v>
      </c>
      <c r="F69" t="str">
        <v>3 24,303.77</v>
      </c>
    </row>
    <row r="70">
      <c r="A70">
        <v>69</v>
      </c>
      <c r="B70">
        <v>47588</v>
      </c>
      <c r="C70">
        <v>1685.27</v>
      </c>
      <c r="D70">
        <v>303.59</v>
      </c>
      <c r="E70">
        <v>1381.6</v>
      </c>
      <c r="F70" t="str">
        <v>8 22,922.09</v>
      </c>
    </row>
    <row r="71">
      <c r="A71">
        <v>70</v>
      </c>
      <c r="B71">
        <v>47618</v>
      </c>
      <c r="C71">
        <v>1685.27</v>
      </c>
      <c r="D71">
        <v>286.33</v>
      </c>
      <c r="E71">
        <v>1398.9</v>
      </c>
      <c r="F71" t="str">
        <v>4 21,523.15</v>
      </c>
    </row>
    <row r="72">
      <c r="A72">
        <v>71</v>
      </c>
      <c r="B72">
        <v>47649</v>
      </c>
      <c r="C72">
        <v>1685.27</v>
      </c>
      <c r="D72">
        <v>268.86</v>
      </c>
      <c r="E72">
        <v>1416.4</v>
      </c>
      <c r="F72" t="str">
        <v>1 20,106.74</v>
      </c>
    </row>
    <row r="73">
      <c r="A73">
        <v>72</v>
      </c>
      <c r="B73">
        <v>47679</v>
      </c>
      <c r="C73">
        <v>1685.27</v>
      </c>
      <c r="D73">
        <v>251.17</v>
      </c>
      <c r="E73">
        <v>1434.1</v>
      </c>
      <c r="F73" t="str">
        <v>0 18,672.64</v>
      </c>
    </row>
    <row r="74">
      <c r="A74">
        <v>73</v>
      </c>
      <c r="B74">
        <v>47710</v>
      </c>
      <c r="C74">
        <v>1685.27</v>
      </c>
      <c r="D74">
        <v>233.25</v>
      </c>
      <c r="E74">
        <v>1452</v>
      </c>
      <c r="F74" t="str">
        <v>2 17,220.62</v>
      </c>
    </row>
    <row r="75">
      <c r="A75">
        <v>74</v>
      </c>
      <c r="B75">
        <v>47741</v>
      </c>
      <c r="C75">
        <v>1685.27</v>
      </c>
      <c r="D75">
        <v>215.11</v>
      </c>
      <c r="E75">
        <v>1470.1</v>
      </c>
      <c r="F75" t="str">
        <v>6 15,750.46</v>
      </c>
    </row>
    <row r="76">
      <c r="A76">
        <v>75</v>
      </c>
      <c r="B76">
        <v>47771</v>
      </c>
      <c r="C76">
        <v>1685.27</v>
      </c>
      <c r="D76">
        <v>196.75</v>
      </c>
      <c r="E76">
        <v>1488.5</v>
      </c>
      <c r="F76" t="str">
        <v>2 14,261.94</v>
      </c>
    </row>
    <row r="77">
      <c r="A77">
        <v>76</v>
      </c>
      <c r="B77">
        <v>47802</v>
      </c>
      <c r="C77">
        <v>1685.27</v>
      </c>
      <c r="D77">
        <v>178.15</v>
      </c>
      <c r="E77">
        <v>1507.1</v>
      </c>
      <c r="F77" t="str">
        <v>2 12,754.82</v>
      </c>
    </row>
    <row r="78">
      <c r="A78">
        <v>77</v>
      </c>
      <c r="B78">
        <v>47832</v>
      </c>
      <c r="C78">
        <v>1685.27</v>
      </c>
      <c r="D78">
        <v>159.33</v>
      </c>
      <c r="E78">
        <v>1525.9</v>
      </c>
      <c r="F78" t="str">
        <v>4 11,228.88</v>
      </c>
    </row>
    <row r="79">
      <c r="A79">
        <v>78</v>
      </c>
      <c r="B79">
        <v>47863</v>
      </c>
      <c r="C79">
        <v>1685.27</v>
      </c>
      <c r="D79">
        <v>140.27</v>
      </c>
      <c r="E79">
        <v>1545</v>
      </c>
      <c r="F79" t="str">
        <v>0 9,683.88</v>
      </c>
    </row>
    <row r="80">
      <c r="A80">
        <v>79</v>
      </c>
      <c r="B80">
        <v>47894</v>
      </c>
      <c r="C80">
        <v>1685.27</v>
      </c>
      <c r="D80">
        <v>120.97</v>
      </c>
      <c r="E80">
        <v>1564.3</v>
      </c>
      <c r="F80" t="str">
        <v>0 8,119.58</v>
      </c>
    </row>
    <row r="81">
      <c r="A81">
        <v>80</v>
      </c>
      <c r="B81">
        <v>47922</v>
      </c>
      <c r="C81">
        <v>1685.27</v>
      </c>
      <c r="D81">
        <v>101.43</v>
      </c>
      <c r="E81">
        <v>1583.8</v>
      </c>
      <c r="F81" t="str">
        <v>4 6,535.74</v>
      </c>
    </row>
    <row r="82">
      <c r="A82">
        <v>81</v>
      </c>
      <c r="B82">
        <v>47953</v>
      </c>
      <c r="C82">
        <v>1685.27</v>
      </c>
      <c r="D82">
        <v>81.64</v>
      </c>
      <c r="E82">
        <v>1603.6</v>
      </c>
      <c r="F82" t="str">
        <v>3 4,932.11</v>
      </c>
    </row>
    <row r="83">
      <c r="A83">
        <v>82</v>
      </c>
      <c r="B83">
        <v>47983</v>
      </c>
      <c r="C83">
        <v>1685.27</v>
      </c>
      <c r="D83">
        <v>61.61</v>
      </c>
      <c r="E83">
        <v>1623.6</v>
      </c>
      <c r="F83" t="str">
        <v>6 3,308.45</v>
      </c>
    </row>
    <row r="84">
      <c r="A84">
        <v>83</v>
      </c>
      <c r="B84">
        <v>48014</v>
      </c>
      <c r="C84">
        <v>1685.27</v>
      </c>
      <c r="D84">
        <v>41.33</v>
      </c>
      <c r="E84">
        <v>1643.9</v>
      </c>
      <c r="F84" t="str">
        <v>4 1,664.51</v>
      </c>
    </row>
    <row r="85">
      <c r="A85">
        <v>84</v>
      </c>
      <c r="B85">
        <v>48044</v>
      </c>
      <c r="C85">
        <v>1685.27</v>
      </c>
      <c r="D85">
        <v>20.76</v>
      </c>
      <c r="E85">
        <v>1664.5</v>
      </c>
      <c r="F85" t="str">
        <v>1 0.00</v>
      </c>
    </row>
    <row r="86">
      <c r="C86">
        <v>141562.68</v>
      </c>
      <c r="D86">
        <v>54202.68</v>
      </c>
      <c r="E86">
        <v>87358.41</v>
      </c>
    </row>
  </sheetData>
  <pageMargins left="0.7" right="0.7" top="0.75" bottom="0.75" header="0.3" footer="0.3"/>
  <ignoredErrors>
    <ignoredError numberStoredAsText="1" sqref="A1:F86"/>
  </ignoredErrors>
</worksheet>
</file>

<file path=xl/worksheets/sheet5.xml><?xml version="1.0" encoding="utf-8"?>
<worksheet xmlns="http://schemas.openxmlformats.org/spreadsheetml/2006/main" xmlns:r="http://schemas.openxmlformats.org/officeDocument/2006/relationships">
  <dimension ref="A1:D3"/>
  <sheetViews>
    <sheetView workbookViewId="0" rightToLeft="0"/>
  </sheetViews>
  <sheetData>
    <row r="1">
      <c r="A1" t="str">
        <v>Timestamp</v>
      </c>
      <c r="B1" t="str">
        <v>Title</v>
      </c>
      <c r="C1" t="str">
        <v>Overview</v>
      </c>
      <c r="D1" t="str">
        <v>Provider</v>
      </c>
    </row>
    <row r="2">
      <c r="A2" t="str">
        <v>2026-03-14T04:41:43.336Z</v>
      </c>
      <c r="B2" t="str">
        <v>Quick Look at Our Initial Data Setup</v>
      </c>
      <c r="C2" t="str">
        <v>Hey there! I've taken a quick peek at the spreadsheet you shared. Right now, it looks like we have a very basic setup with some general placeholders, so we can't quite dive into any deep insights just yet. Think of this as getting the table ready before we put any food on it!</v>
      </c>
      <c r="D2" t="str">
        <v>gemini</v>
      </c>
    </row>
    <row r="3">
      <c r="A3" t="str">
        <v>2026-03-14T12:34:55.648Z</v>
      </c>
      <c r="B3" t="str">
        <v>Quick Look at Our Initial Data Setup</v>
      </c>
      <c r="C3" t="str">
        <v>Hey there! I've taken a quick peek at the spreadsheet you shared. Right now, it looks like we have a very basic setup with some general placeholders, so we can't quite dive into any deep insights just yet. Think of this as getting the table ready before we put any food on it!</v>
      </c>
      <c r="D3" t="str">
        <v>gemini</v>
      </c>
    </row>
  </sheetData>
  <ignoredErrors>
    <ignoredError numberStoredAsText="1" sqref="A1:D3"/>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Dashboard</vt:lpstr>
      <vt:lpstr>Summary</vt:lpstr>
      <vt:lpstr>Bills_Income</vt:lpstr>
      <vt:lpstr>STUPID ASS LOAN DETAILS</vt:lpstr>
      <vt:lpstr>Report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2026-01-31T21:57:36Z</dcterms:created>
  <dcterms:modified xsi:type="dcterms:W3CDTF">2026-01-31T22:55:07Z</dcterms:modified>
  <cp:lastModifiedBy>Dustin Link</cp:lastModifiedBy>
  <dc:creator>Dustin Link</dc:creator>
</cp:coreProperties>
</file>